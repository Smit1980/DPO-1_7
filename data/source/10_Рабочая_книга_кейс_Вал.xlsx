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e0ee42cce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точник" sheetId="1" r:id="Ra9d1a5f07deb4a45"/>
    <x:sheet xmlns:r="http://schemas.openxmlformats.org/officeDocument/2006/relationships" name="Операция 010" sheetId="2" r:id="R488985f1bb7b4bc2"/>
    <x:sheet xmlns:r="http://schemas.openxmlformats.org/officeDocument/2006/relationships" name="Учебные условия" sheetId="3" r:id="Raa0655aa1ce24c62"/>
    <x:sheet xmlns:r="http://schemas.openxmlformats.org/officeDocument/2006/relationships" name="Ресурсы" sheetId="4" r:id="R31728d037fc84475"/>
    <x:sheet xmlns:r="http://schemas.openxmlformats.org/officeDocument/2006/relationships" name="События" sheetId="5" r:id="R890ce0131f074b96"/>
    <x:sheet xmlns:r="http://schemas.openxmlformats.org/officeDocument/2006/relationships" name="Расчет партии" sheetId="6" r:id="Rdfc64c2ff1534a69"/>
    <x:sheet xmlns:r="http://schemas.openxmlformats.org/officeDocument/2006/relationships" name="Расписание" sheetId="7" r:id="R2cec31afba224693"/>
    <x:sheet xmlns:r="http://schemas.openxmlformats.org/officeDocument/2006/relationships" name="Сверка источников" sheetId="8" r:id="R0945d633e7584b44"/>
    <x:sheet xmlns:r="http://schemas.openxmlformats.org/officeDocument/2006/relationships" name="Сценарии" sheetId="9" r:id="R65bf89a4a1ba4d24"/>
    <x:sheet xmlns:r="http://schemas.openxmlformats.org/officeDocument/2006/relationships" name="Итог руководителю" sheetId="10" r:id="Rcf3d1acc4aef4ee8"/>
    <x:sheet xmlns:r="http://schemas.openxmlformats.org/officeDocument/2006/relationships" name="Проверка ИИ" sheetId="11" r:id="R84118b621393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00206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0047FF"/>
      </x:patternFill>
    </x:fill>
    <x:fill>
      <x:patternFill patternType="solid">
        <x:fgColor rgb="FFFFF4E5"/>
      </x:patternFill>
    </x:fill>
    <x:fill>
      <x:patternFill patternType="solid">
        <x:fgColor rgb="FFFDE2E2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DE2E2"/>
        </x:patternFill>
      </x:fill>
    </x:dxf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daa4b618c4c8d" /><Relationship Type="http://schemas.openxmlformats.org/officeDocument/2006/relationships/theme" Target="/xl/theme/theme1.xml" Id="Re373ec675bdc4fbc" /><Relationship Type="http://schemas.openxmlformats.org/officeDocument/2006/relationships/sharedStrings" Target="/xl/sharedStrings.xml" Id="R998742ba3ade4f82" /><Relationship Type="http://schemas.openxmlformats.org/officeDocument/2006/relationships/worksheet" Target="/xl/worksheets/sheet1.xml" Id="Ra9d1a5f07deb4a45" /><Relationship Type="http://schemas.openxmlformats.org/officeDocument/2006/relationships/worksheet" Target="/xl/worksheets/sheet2.xml" Id="R488985f1bb7b4bc2" /><Relationship Type="http://schemas.openxmlformats.org/officeDocument/2006/relationships/worksheet" Target="/xl/worksheets/sheet3.xml" Id="Raa0655aa1ce24c62" /><Relationship Type="http://schemas.openxmlformats.org/officeDocument/2006/relationships/worksheet" Target="/xl/worksheets/sheet4.xml" Id="R31728d037fc84475" /><Relationship Type="http://schemas.openxmlformats.org/officeDocument/2006/relationships/worksheet" Target="/xl/worksheets/sheet5.xml" Id="R890ce0131f074b96" /><Relationship Type="http://schemas.openxmlformats.org/officeDocument/2006/relationships/worksheet" Target="/xl/worksheets/sheet6.xml" Id="Rdfc64c2ff1534a69" /><Relationship Type="http://schemas.openxmlformats.org/officeDocument/2006/relationships/worksheet" Target="/xl/worksheets/sheet7.xml" Id="R2cec31afba224693" /><Relationship Type="http://schemas.openxmlformats.org/officeDocument/2006/relationships/worksheet" Target="/xl/worksheets/sheet8.xml" Id="R0945d633e7584b44" /><Relationship Type="http://schemas.openxmlformats.org/officeDocument/2006/relationships/worksheet" Target="/xl/worksheets/sheet9.xml" Id="R65bf89a4a1ba4d24" /><Relationship Type="http://schemas.openxmlformats.org/officeDocument/2006/relationships/worksheet" Target="/xl/worksheets/sheet10.xml" Id="Rcf3d1acc4aef4ee8" /><Relationship Type="http://schemas.openxmlformats.org/officeDocument/2006/relationships/worksheet" Target="/xl/worksheets/sheet11.xml" Id="R84118b62139344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9" hidden="0" customWidth="1"/>
    <x:col min="5" max="5" width="24" hidden="0" customWidth="1"/>
    <x:col min="6" max="6" width="20" hidden="0" customWidth="1"/>
    <x:col min="7" max="7" width="13" hidden="0" customWidth="1"/>
    <x:col min="8" max="8" width="11" hidden="0" customWidth="1"/>
    <x:col min="9" max="9" width="11" hidden="0" customWidth="1"/>
  </x:cols>
  <x:sheetData>
    <x:row r="1" ht="27" customHeight="1">
      <x:c r="A1" s="20" t="str">
        <x:v>РЕАЛЬНЫЙ ИСТОЧНИК INNER: МАРШРУТНАЯ КАРТА ДЕТАЛИ «ВАЛ»</x:v>
      </x:c>
      <x:c r="B1" s="20"/>
      <x:c r="C1" s="20"/>
      <x:c r="D1" s="20"/>
      <x:c r="E1" s="20"/>
      <x:c r="F1" s="20"/>
      <x:c r="G1" s="20"/>
      <x:c r="H1" s="20"/>
      <x:c r="I1" s="20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Симв.</x:v>
      </x:c>
      <x:c r="B3" s="22" t="str">
        <x:v>Цех</x:v>
      </x:c>
      <x:c r="C3" s="22" t="str">
        <x:v>Уч.</x:v>
      </x:c>
      <x:c r="D3" s="22" t="str">
        <x:v>Опер.</x:v>
      </x:c>
      <x:c r="E3" s="22" t="str">
        <x:v>Наименование операции</x:v>
      </x:c>
      <x:c r="F3" s="22" t="str">
        <x:v>Оборудование</x:v>
      </x:c>
      <x:c r="G3" s="22" t="str">
        <x:v>Проф./Р</x:v>
      </x:c>
      <x:c r="H3" s="22" t="str">
        <x:v>Тпз, мин</x:v>
      </x:c>
      <x:c r="I3" s="22" t="str">
        <x:v>Тшт, мин</x:v>
      </x:c>
      <x:c r="J3" s="21"/>
      <x:c r="K3" s="21"/>
    </x:row>
    <x:row r="4">
      <x:c r="A4" s="21" t="str">
        <x:v>А</x:v>
      </x:c>
      <x:c r="B4" s="21" t="str">
        <x:v>01</x:v>
      </x:c>
      <x:c r="C4" s="21" t="str">
        <x:v>02</x:v>
      </x:c>
      <x:c r="D4" s="21" t="str">
        <x:v>005</x:v>
      </x:c>
      <x:c r="E4" s="21" t="str">
        <x:v>Заготовительная</x:v>
      </x:c>
      <x:c r="F4" s="21" t="str">
        <x:v>—</x:v>
      </x:c>
      <x:c r="G4" s="21" t="str">
        <x:v>—</x:v>
      </x:c>
      <x:c r="H4" s="21" t="str"/>
      <x:c r="I4" s="21" t="str"/>
      <x:c r="J4" s="21"/>
      <x:c r="K4" s="21"/>
    </x:row>
    <x:row r="5">
      <x:c r="A5" s="21" t="str">
        <x:v>А</x:v>
      </x:c>
      <x:c r="B5" s="21" t="str">
        <x:v>01</x:v>
      </x:c>
      <x:c r="C5" s="21" t="str">
        <x:v>03</x:v>
      </x:c>
      <x:c r="D5" s="21" t="str">
        <x:v>010</x:v>
      </x:c>
      <x:c r="E5" s="21" t="str">
        <x:v>Токарная</x:v>
      </x:c>
      <x:c r="F5" s="21" t="str">
        <x:v>16К20</x:v>
      </x:c>
      <x:c r="G5" s="21" t="str">
        <x:v>19149/4</x:v>
      </x:c>
      <x:c r="H5" s="21" t="n">
        <x:v>25</x:v>
      </x:c>
      <x:c r="I5" s="21" t="n">
        <x:v>8.5</x:v>
      </x:c>
      <x:c r="J5" s="21"/>
      <x:c r="K5" s="21"/>
    </x:row>
    <x:row r="6">
      <x:c r="A6" s="21" t="str">
        <x:v>А</x:v>
      </x:c>
      <x:c r="B6" s="21" t="str">
        <x:v>01</x:v>
      </x:c>
      <x:c r="C6" s="21" t="str">
        <x:v>03</x:v>
      </x:c>
      <x:c r="D6" s="21" t="str">
        <x:v>015</x:v>
      </x:c>
      <x:c r="E6" s="21" t="str">
        <x:v>Токарная</x:v>
      </x:c>
      <x:c r="F6" s="21" t="str">
        <x:v>16К20</x:v>
      </x:c>
      <x:c r="G6" s="21" t="str">
        <x:v>19149/4</x:v>
      </x:c>
      <x:c r="H6" s="21" t="n">
        <x:v>25</x:v>
      </x:c>
      <x:c r="I6" s="21" t="n">
        <x:v>7.2</x:v>
      </x:c>
      <x:c r="J6" s="21"/>
      <x:c r="K6" s="21"/>
    </x:row>
    <x:row r="7">
      <x:c r="A7" s="21" t="str">
        <x:v>А</x:v>
      </x:c>
      <x:c r="B7" s="21" t="str">
        <x:v>01</x:v>
      </x:c>
      <x:c r="C7" s="21" t="str">
        <x:v>05</x:v>
      </x:c>
      <x:c r="D7" s="21" t="str">
        <x:v>020</x:v>
      </x:c>
      <x:c r="E7" s="21" t="str">
        <x:v>Фрезерная</x:v>
      </x:c>
      <x:c r="F7" s="21" t="str">
        <x:v>6Р82Г</x:v>
      </x:c>
      <x:c r="G7" s="21" t="str">
        <x:v>19479/4</x:v>
      </x:c>
      <x:c r="H7" s="21" t="n">
        <x:v>20</x:v>
      </x:c>
      <x:c r="I7" s="21" t="n">
        <x:v>12</x:v>
      </x:c>
      <x:c r="J7" s="21"/>
      <x:c r="K7" s="21"/>
    </x:row>
    <x:row r="8">
      <x:c r="A8" s="21" t="str">
        <x:v>А</x:v>
      </x:c>
      <x:c r="B8" s="21" t="str">
        <x:v>01</x:v>
      </x:c>
      <x:c r="C8" s="21" t="str">
        <x:v>06</x:v>
      </x:c>
      <x:c r="D8" s="21" t="str">
        <x:v>025</x:v>
      </x:c>
      <x:c r="E8" s="21" t="str">
        <x:v>Шлифовальная</x:v>
      </x:c>
      <x:c r="F8" s="21" t="str">
        <x:v>3М151</x:v>
      </x:c>
      <x:c r="G8" s="21" t="str">
        <x:v>18873/4</x:v>
      </x:c>
      <x:c r="H8" s="21" t="n">
        <x:v>15</x:v>
      </x:c>
      <x:c r="I8" s="21" t="n">
        <x:v>6.3</x:v>
      </x:c>
      <x:c r="J8" s="21"/>
      <x:c r="K8" s="21"/>
    </x:row>
    <x:row r="9">
      <x:c r="A9" s="21" t="str">
        <x:v>А</x:v>
      </x:c>
      <x:c r="B9" s="21" t="str">
        <x:v>01</x:v>
      </x:c>
      <x:c r="C9" s="21" t="str">
        <x:v>08</x:v>
      </x:c>
      <x:c r="D9" s="21" t="str">
        <x:v>030</x:v>
      </x:c>
      <x:c r="E9" s="21" t="str">
        <x:v>Слесарная</x:v>
      </x:c>
      <x:c r="F9" s="21" t="str">
        <x:v>Верстак</x:v>
      </x:c>
      <x:c r="G9" s="21" t="str">
        <x:v>18466/3</x:v>
      </x:c>
      <x:c r="H9" s="21" t="n">
        <x:v>5</x:v>
      </x:c>
      <x:c r="I9" s="21" t="n">
        <x:v>3</x:v>
      </x:c>
      <x:c r="J9" s="21"/>
      <x:c r="K9" s="21"/>
    </x:row>
    <x:row r="10">
      <x:c r="A10" s="21" t="str">
        <x:v>А</x:v>
      </x:c>
      <x:c r="B10" s="21" t="str">
        <x:v>02</x:v>
      </x:c>
      <x:c r="C10" s="21" t="str">
        <x:v>01</x:v>
      </x:c>
      <x:c r="D10" s="21" t="str">
        <x:v>035</x:v>
      </x:c>
      <x:c r="E10" s="21" t="str">
        <x:v>Контрольная</x:v>
      </x:c>
      <x:c r="F10" s="21" t="str">
        <x:v>Стол ОТК</x:v>
      </x:c>
      <x:c r="G10" s="21" t="str">
        <x:v>12958/4</x:v>
      </x:c>
      <x:c r="H10" s="21" t="str"/>
      <x:c r="I10" s="21" t="n">
        <x:v>5</x:v>
      </x:c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 t="str">
        <x:v>Источник: https://inner.su/articles/marshrutnaya-i-operatsionnaya-karty-tekhprotsessa-po-gost-estd/</x:v>
      </x:c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 t="str">
        <x:v>Важно: реальные данные источника. Учебные дополнения находятся на других листах.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I1"/>
    <x:mergeCell ref="A12:I12"/>
    <x:mergeCell ref="A14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6" hidden="0" customWidth="1"/>
    <x:col min="3" max="3" width="9" hidden="0" customWidth="1"/>
    <x:col min="4" max="4" width="9" hidden="0" customWidth="1"/>
    <x:col min="5" max="5" width="9" hidden="0" customWidth="1"/>
    <x:col min="6" max="6" width="6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</x:cols>
  <x:sheetData>
    <x:row r="1" ht="27" customHeight="1">
      <x:c r="A1" s="20" t="str">
        <x:v>РЕАЛЬНЫЙ ИСТОЧНИК INNER: ОПЕРАЦИОННАЯ КАРТА 010 «ТОКАРНАЯ»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№ перехода</x:v>
      </x:c>
      <x:c r="B3" s="22" t="str">
        <x:v>Содержание перехода</x:v>
      </x:c>
      <x:c r="C3" s="22" t="str">
        <x:v>D, мм</x:v>
      </x:c>
      <x:c r="D3" s="22" t="str">
        <x:v>L, мм</x:v>
      </x:c>
      <x:c r="E3" s="22" t="str">
        <x:v>t, мм</x:v>
      </x:c>
      <x:c r="F3" s="22" t="str">
        <x:v>i</x:v>
      </x:c>
      <x:c r="G3" s="22" t="str">
        <x:v>S, мм/об</x:v>
      </x:c>
      <x:c r="H3" s="22" t="str">
        <x:v>n, об/мин</x:v>
      </x:c>
      <x:c r="I3" s="22" t="str">
        <x:v>V, м/мин</x:v>
      </x:c>
      <x:c r="J3" s="22" t="str">
        <x:v>Т0, мин</x:v>
      </x:c>
      <x:c r="K3" s="21"/>
    </x:row>
    <x:row r="4">
      <x:c r="A4" s="21" t="n">
        <x:v>1</x:v>
      </x:c>
      <x:c r="B4" s="21" t="str">
        <x:v>Установить и закрепить заготовку</x:v>
      </x:c>
      <x:c r="C4" s="21" t="str"/>
      <x:c r="D4" s="21" t="str"/>
      <x:c r="E4" s="21" t="str"/>
      <x:c r="F4" s="21" t="str"/>
      <x:c r="G4" s="21" t="str"/>
      <x:c r="H4" s="21" t="str"/>
      <x:c r="I4" s="21" t="str"/>
      <x:c r="J4" s="21" t="str"/>
      <x:c r="K4" s="21"/>
    </x:row>
    <x:row r="5">
      <x:c r="A5" s="21" t="n">
        <x:v>2</x:v>
      </x:c>
      <x:c r="B5" s="21" t="str">
        <x:v>Подрезать торец, выдерживая размер 125±0,5</x:v>
      </x:c>
      <x:c r="C5" s="21" t="n">
        <x:v>48</x:v>
      </x:c>
      <x:c r="D5" s="21" t="n">
        <x:v>24</x:v>
      </x:c>
      <x:c r="E5" s="21" t="n">
        <x:v>1.5</x:v>
      </x:c>
      <x:c r="F5" s="21" t="n">
        <x:v>1</x:v>
      </x:c>
      <x:c r="G5" s="21" t="n">
        <x:v>0.2</x:v>
      </x:c>
      <x:c r="H5" s="21" t="n">
        <x:v>630</x:v>
      </x:c>
      <x:c r="I5" s="21" t="n">
        <x:v>95</x:v>
      </x:c>
      <x:c r="J5" s="21" t="n">
        <x:v>0.19</x:v>
      </x:c>
      <x:c r="K5" s="21"/>
    </x:row>
    <x:row r="6">
      <x:c r="A6" s="21" t="n">
        <x:v>3</x:v>
      </x:c>
      <x:c r="B6" s="21" t="str">
        <x:v>Точить поверхность 1, выдерживая ø40h14(−0,62) на длину 120</x:v>
      </x:c>
      <x:c r="C6" s="21" t="n">
        <x:v>40</x:v>
      </x:c>
      <x:c r="D6" s="21" t="n">
        <x:v>120</x:v>
      </x:c>
      <x:c r="E6" s="21" t="n">
        <x:v>2</x:v>
      </x:c>
      <x:c r="F6" s="21" t="n">
        <x:v>2</x:v>
      </x:c>
      <x:c r="G6" s="21" t="n">
        <x:v>0.3</x:v>
      </x:c>
      <x:c r="H6" s="21" t="n">
        <x:v>800</x:v>
      </x:c>
      <x:c r="I6" s="21" t="n">
        <x:v>100</x:v>
      </x:c>
      <x:c r="J6" s="21" t="n">
        <x:v>1</x:v>
      </x:c>
      <x:c r="K6" s="21"/>
    </x:row>
    <x:row r="7">
      <x:c r="A7" s="21" t="n">
        <x:v>4</x:v>
      </x:c>
      <x:c r="B7" s="21" t="str">
        <x:v>Точить фаску 2×45°</x:v>
      </x:c>
      <x:c r="C7" s="21" t="n">
        <x:v>40</x:v>
      </x:c>
      <x:c r="D7" s="21" t="n">
        <x:v>2</x:v>
      </x:c>
      <x:c r="E7" s="21" t="n">
        <x:v>2</x:v>
      </x:c>
      <x:c r="F7" s="21" t="n">
        <x:v>1</x:v>
      </x:c>
      <x:c r="G7" s="21" t="n">
        <x:v>0.15</x:v>
      </x:c>
      <x:c r="H7" s="21" t="n">
        <x:v>800</x:v>
      </x:c>
      <x:c r="I7" s="21" t="n">
        <x:v>100</x:v>
      </x:c>
      <x:c r="J7" s="21" t="n">
        <x:v>0.02</x:v>
      </x:c>
      <x:c r="K7" s="21"/>
    </x:row>
    <x:row r="8">
      <x:c r="A8" s="21" t="n">
        <x:v>5</x:v>
      </x:c>
      <x:c r="B8" s="21" t="str">
        <x:v>Снять деталь</x:v>
      </x:c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  <x:row r="10">
      <x:c r="A10" s="21" t="str">
        <x:v>Показатель</x:v>
      </x:c>
      <x:c r="B10" s="21" t="str">
        <x:v>Значение</x:v>
      </x:c>
      <x:c r="C10" s="21"/>
      <x:c r="D10" s="21" t="str">
        <x:v>Показатель</x:v>
      </x:c>
      <x:c r="E10" s="21" t="str">
        <x:v>Значение</x:v>
      </x:c>
      <x:c r="F10" s="21"/>
      <x:c r="G10" s="21"/>
      <x:c r="H10" s="21"/>
      <x:c r="I10" s="21"/>
      <x:c r="J10" s="21"/>
      <x:c r="K10" s="21"/>
    </x:row>
    <x:row r="11">
      <x:c r="A11" s="21" t="str">
        <x:v>Т0, мин</x:v>
      </x:c>
      <x:c r="B11" s="21" t="n">
        <x:v>1.21</x:v>
      </x:c>
      <x:c r="C11" s="21"/>
      <x:c r="D11" s="21" t="str">
        <x:v>Тшт, мин</x:v>
      </x:c>
      <x:c r="E11" s="21" t="n">
        <x:v>2.98</x:v>
      </x:c>
      <x:c r="F11" s="21"/>
      <x:c r="G11" s="21"/>
      <x:c r="H11" s="21"/>
      <x:c r="I11" s="21"/>
      <x:c r="J11" s="21"/>
      <x:c r="K11" s="21"/>
    </x:row>
    <x:row r="12">
      <x:c r="A12" s="21" t="str">
        <x:v>Тв, мин</x:v>
      </x:c>
      <x:c r="B12" s="21" t="n">
        <x:v>1.5</x:v>
      </x:c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 t="str">
        <x:v>Топер, мин</x:v>
      </x:c>
      <x:c r="B13" s="21" t="n">
        <x:v>2.71</x:v>
      </x:c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 t="str">
        <x:v>Тобсл, мин</x:v>
      </x:c>
      <x:c r="B14" s="21" t="n">
        <x:v>0.16</x:v>
      </x:c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 t="str">
        <x:v>Тотд, мин</x:v>
      </x:c>
      <x:c r="B15" s="21" t="n">
        <x:v>0.11</x:v>
      </x:c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6" t="str">
        <x:v>КОНТРОЛЬНАЯ ТОЧКА: маршрутный пример даёт Тшт 8,5 мин, отдельный операционный пример - 2,98 мин. Не объединять без решения.</x:v>
      </x:c>
      <x:c r="B17" s="26"/>
      <x:c r="C17" s="26"/>
      <x:c r="D17" s="26"/>
      <x:c r="E17" s="26"/>
      <x:c r="F17" s="26"/>
      <x:c r="G17" s="26"/>
      <x:c r="H17" s="26"/>
      <x:c r="I17" s="26"/>
      <x:c r="J17" s="26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J1"/>
    <x:mergeCell ref="A17:J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2" hidden="0" customWidth="1"/>
    <x:col min="3" max="3" width="20" hidden="0" customWidth="1"/>
    <x:col min="4" max="4" width="40" hidden="0" customWidth="1"/>
  </x:cols>
  <x:sheetData>
    <x:row r="1" ht="27" customHeight="1">
      <x:c r="A1" s="20" t="str">
        <x:v>УЧЕБНЫЕ УСЛОВИЯ ПРОИЗВОДСТВЕННОГО ЗАДАНИЯ</x:v>
      </x:c>
      <x:c r="B1" s="20"/>
      <x:c r="C1" s="20"/>
      <x:c r="D1" s="20"/>
      <x:c r="E1" s="21"/>
      <x:c r="F1" s="21"/>
      <x:c r="G1" s="21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Параметр</x:v>
      </x:c>
      <x:c r="B3" s="22" t="str">
        <x:v>Значение</x:v>
      </x:c>
      <x:c r="C3" s="22" t="str">
        <x:v>Статус</x:v>
      </x:c>
      <x:c r="D3" s="22" t="str">
        <x:v>Комментарий</x:v>
      </x:c>
      <x:c r="E3" s="21"/>
      <x:c r="F3" s="21"/>
      <x:c r="G3" s="21"/>
      <x:c r="H3" s="21"/>
      <x:c r="I3" s="21"/>
      <x:c r="J3" s="21"/>
      <x:c r="K3" s="21"/>
    </x:row>
    <x:row r="4">
      <x:c r="A4" s="21" t="str">
        <x:v>Размер партии</x:v>
      </x:c>
      <x:c r="B4" s="21" t="n">
        <x:v>10</x:v>
      </x:c>
      <x:c r="C4" s="21" t="str">
        <x:v>Учебное</x:v>
      </x:c>
      <x:c r="D4" s="21" t="str">
        <x:v>10 деталей</x:v>
      </x:c>
      <x:c r="E4" s="21"/>
      <x:c r="F4" s="21"/>
      <x:c r="G4" s="21"/>
      <x:c r="H4" s="21"/>
      <x:c r="I4" s="21"/>
      <x:c r="J4" s="21"/>
      <x:c r="K4" s="21"/>
    </x:row>
    <x:row r="5">
      <x:c r="A5" s="21" t="str">
        <x:v>Начало смены</x:v>
      </x:c>
      <x:c r="B5" s="21" t="str">
        <x:v>08:00</x:v>
      </x:c>
      <x:c r="C5" s="21" t="str">
        <x:v>Учебное</x:v>
      </x:c>
      <x:c r="D5" s="21" t="str">
        <x:v>Точка отсчёта</x:v>
      </x:c>
      <x:c r="E5" s="21"/>
      <x:c r="F5" s="21"/>
      <x:c r="G5" s="21"/>
      <x:c r="H5" s="21"/>
      <x:c r="I5" s="21"/>
      <x:c r="J5" s="21"/>
      <x:c r="K5" s="21"/>
    </x:row>
    <x:row r="6">
      <x:c r="A6" s="21" t="str">
        <x:v>Окончание смены</x:v>
      </x:c>
      <x:c r="B6" s="21" t="str">
        <x:v>17:00</x:v>
      </x:c>
      <x:c r="C6" s="21" t="str">
        <x:v>Учебное</x:v>
      </x:c>
      <x:c r="D6" s="21" t="str">
        <x:v>Порог переработки</x:v>
      </x:c>
      <x:c r="E6" s="21"/>
      <x:c r="F6" s="21"/>
      <x:c r="G6" s="21"/>
      <x:c r="H6" s="21"/>
      <x:c r="I6" s="21"/>
      <x:c r="J6" s="21"/>
      <x:c r="K6" s="21"/>
    </x:row>
    <x:row r="7">
      <x:c r="A7" s="21" t="str">
        <x:v>Обед</x:v>
      </x:c>
      <x:c r="B7" s="21" t="str">
        <x:v>12:00-12:45</x:v>
      </x:c>
      <x:c r="C7" s="21" t="str">
        <x:v>Учебное</x:v>
      </x:c>
      <x:c r="D7" s="21" t="str">
        <x:v>Новые детали/операции не запускаются</x:v>
      </x:c>
      <x:c r="E7" s="21"/>
      <x:c r="F7" s="21"/>
      <x:c r="G7" s="21"/>
      <x:c r="H7" s="21"/>
      <x:c r="I7" s="21"/>
      <x:c r="J7" s="21"/>
      <x:c r="K7" s="21"/>
    </x:row>
    <x:row r="8">
      <x:c r="A8" s="21" t="str">
        <x:v>Операция 005</x:v>
      </x:c>
      <x:c r="B8" s="21" t="str">
        <x:v>Завершена предыдущей сменой</x:v>
      </x:c>
      <x:c r="C8" s="21" t="str">
        <x:v>Учебное</x:v>
      </x:c>
      <x:c r="D8" s="21" t="str">
        <x:v>В источнике нет времени</x:v>
      </x:c>
      <x:c r="E8" s="21"/>
      <x:c r="F8" s="21"/>
      <x:c r="G8" s="21"/>
      <x:c r="H8" s="21"/>
      <x:c r="I8" s="21"/>
      <x:c r="J8" s="21"/>
      <x:c r="K8" s="21"/>
    </x:row>
    <x:row r="9">
      <x:c r="A9" s="21" t="str">
        <x:v>Правило расчёта</x:v>
      </x:c>
      <x:c r="B9" s="21" t="str">
        <x:v>Тпз + Тшт × N</x:v>
      </x:c>
      <x:c r="C9" s="21" t="str">
        <x:v>Учебное</x:v>
      </x:c>
      <x:c r="D9" s="21" t="str">
        <x:v>Для расчёта партии</x:v>
      </x:c>
      <x:c r="E9" s="21"/>
      <x:c r="F9" s="21"/>
      <x:c r="G9" s="21"/>
      <x:c r="H9" s="21"/>
      <x:c r="I9" s="21"/>
      <x:c r="J9" s="21"/>
      <x:c r="K9" s="21"/>
    </x:row>
    <x:row r="10">
      <x:c r="A10" s="21" t="str">
        <x:v>Источник для расписания</x:v>
      </x:c>
      <x:c r="B10" s="21" t="str">
        <x:v>Маршрутная карта</x:v>
      </x:c>
      <x:c r="C10" s="21" t="str">
        <x:v>Решение преподавателя</x:v>
      </x:c>
      <x:c r="D10" s="21" t="str">
        <x:v>Оперкарта 010 используется для проверки</x:v>
      </x:c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24" hidden="0" customWidth="1"/>
    <x:col min="5" max="5" width="42" hidden="0" customWidth="1"/>
  </x:cols>
  <x:sheetData>
    <x:row r="1" ht="27" customHeight="1">
      <x:c r="A1" s="20" t="str">
        <x:v>РЕСУРСЫ И ОГРАНИЧЕНИЯ УЧАСТКА</x:v>
      </x:c>
      <x:c r="B1" s="20"/>
      <x:c r="C1" s="20"/>
      <x:c r="D1" s="20"/>
      <x:c r="E1" s="20"/>
      <x:c r="F1" s="21"/>
      <x:c r="G1" s="21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Ресурс</x:v>
      </x:c>
      <x:c r="B3" s="22" t="str">
        <x:v>Доступен с</x:v>
      </x:c>
      <x:c r="C3" s="22" t="str">
        <x:v>Доступен до</x:v>
      </x:c>
      <x:c r="D3" s="22" t="str">
        <x:v>Недоступность</x:v>
      </x:c>
      <x:c r="E3" s="22" t="str">
        <x:v>Комментарий</x:v>
      </x:c>
      <x:c r="F3" s="21"/>
      <x:c r="G3" s="21"/>
      <x:c r="H3" s="21"/>
      <x:c r="I3" s="21"/>
      <x:c r="J3" s="21"/>
      <x:c r="K3" s="21"/>
    </x:row>
    <x:row r="4">
      <x:c r="A4" s="21" t="str">
        <x:v>16К20</x:v>
      </x:c>
      <x:c r="B4" s="21" t="str">
        <x:v>08:00</x:v>
      </x:c>
      <x:c r="C4" s="21" t="str">
        <x:v>17:00</x:v>
      </x:c>
      <x:c r="D4" s="21" t="str">
        <x:v>10:55-11:25</x:v>
      </x:c>
      <x:c r="E4" s="21" t="str">
        <x:v>1 станок; плановый осмотр</x:v>
      </x:c>
      <x:c r="F4" s="21"/>
      <x:c r="G4" s="21"/>
      <x:c r="H4" s="21"/>
      <x:c r="I4" s="21"/>
      <x:c r="J4" s="21"/>
      <x:c r="K4" s="21"/>
    </x:row>
    <x:row r="5">
      <x:c r="A5" s="21" t="str">
        <x:v>6Р82Г</x:v>
      </x:c>
      <x:c r="B5" s="21" t="str">
        <x:v>08:00</x:v>
      </x:c>
      <x:c r="C5" s="21" t="str">
        <x:v>17:00</x:v>
      </x:c>
      <x:c r="D5" s="21" t="str">
        <x:v>—</x:v>
      </x:c>
      <x:c r="E5" s="21" t="str">
        <x:v>Для 020 нужен комплект К-17</x:v>
      </x:c>
      <x:c r="F5" s="21"/>
      <x:c r="G5" s="21"/>
      <x:c r="H5" s="21"/>
      <x:c r="I5" s="21"/>
      <x:c r="J5" s="21"/>
      <x:c r="K5" s="21"/>
    </x:row>
    <x:row r="6">
      <x:c r="A6" s="21" t="str">
        <x:v>3М151</x:v>
      </x:c>
      <x:c r="B6" s="21" t="str">
        <x:v>08:00</x:v>
      </x:c>
      <x:c r="C6" s="21" t="str">
        <x:v>17:00</x:v>
      </x:c>
      <x:c r="D6" s="21" t="str">
        <x:v>15:10-15:50</x:v>
      </x:c>
      <x:c r="E6" s="21" t="str">
        <x:v>Плановое обслуживание</x:v>
      </x:c>
      <x:c r="F6" s="21"/>
      <x:c r="G6" s="21"/>
      <x:c r="H6" s="21"/>
      <x:c r="I6" s="21"/>
      <x:c r="J6" s="21"/>
      <x:c r="K6" s="21"/>
    </x:row>
    <x:row r="7">
      <x:c r="A7" s="21" t="str">
        <x:v>Верстак</x:v>
      </x:c>
      <x:c r="B7" s="21" t="str">
        <x:v>08:00</x:v>
      </x:c>
      <x:c r="C7" s="21" t="str">
        <x:v>17:00</x:v>
      </x:c>
      <x:c r="D7" s="21" t="str">
        <x:v>14:30-15:00</x:v>
      </x:c>
      <x:c r="E7" s="21" t="str">
        <x:v>Исполнитель занят на другом задании</x:v>
      </x:c>
      <x:c r="F7" s="21"/>
      <x:c r="G7" s="21"/>
      <x:c r="H7" s="21"/>
      <x:c r="I7" s="21"/>
      <x:c r="J7" s="21"/>
      <x:c r="K7" s="21"/>
    </x:row>
    <x:row r="8">
      <x:c r="A8" s="21" t="str">
        <x:v>Стол ОТК</x:v>
      </x:c>
      <x:c r="B8" s="21" t="str">
        <x:v>09:00</x:v>
      </x:c>
      <x:c r="C8" s="21" t="str">
        <x:v>16:30</x:v>
      </x:c>
      <x:c r="D8" s="21" t="str">
        <x:v>после 16:30</x:v>
      </x:c>
      <x:c r="E8" s="21" t="str">
        <x:v>Требуется отдельное согласование</x:v>
      </x:c>
      <x:c r="F8" s="21"/>
      <x:c r="G8" s="21"/>
      <x:c r="H8" s="21"/>
      <x:c r="I8" s="21"/>
      <x:c r="J8" s="21"/>
      <x:c r="K8" s="21"/>
    </x:row>
    <x:row r="9">
      <x:c r="A9" s="21" t="str">
        <x:v>Испытательный стенд</x:v>
      </x:c>
      <x:c r="B9" s="21" t="str">
        <x:v>14:00</x:v>
      </x:c>
      <x:c r="C9" s="21" t="str">
        <x:v>20:00</x:v>
      </x:c>
      <x:c r="D9" s="21" t="str">
        <x:v>—</x:v>
      </x:c>
      <x:c r="E9" s="21" t="str">
        <x:v>Испытание 180 мин, непрерывно</x:v>
      </x:c>
      <x:c r="F9" s="21"/>
      <x:c r="G9" s="21"/>
      <x:c r="H9" s="21"/>
      <x:c r="I9" s="21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50" hidden="0" customWidth="1"/>
    <x:col min="4" max="4" width="17" hidden="0" customWidth="1"/>
    <x:col min="5" max="5" width="18" hidden="0" customWidth="1"/>
    <x:col min="6" max="6" width="35" hidden="0" customWidth="1"/>
  </x:cols>
  <x:sheetData>
    <x:row r="1" ht="27" customHeight="1">
      <x:c r="A1" s="20" t="str">
        <x:v>ХРОНОЛОГИЯ УЧЕБНЫХ СОБЫТИЙ</x:v>
      </x:c>
      <x:c r="B1" s="20"/>
      <x:c r="C1" s="20"/>
      <x:c r="D1" s="20"/>
      <x:c r="E1" s="20"/>
      <x:c r="F1" s="20"/>
      <x:c r="G1" s="21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Время</x:v>
      </x:c>
      <x:c r="B3" s="22" t="str">
        <x:v>Источник</x:v>
      </x:c>
      <x:c r="C3" s="22" t="str">
        <x:v>Событие</x:v>
      </x:c>
      <x:c r="D3" s="22" t="str">
        <x:v>Статус</x:v>
      </x:c>
      <x:c r="E3" s="22" t="str">
        <x:v>Влияет на</x:v>
      </x:c>
      <x:c r="F3" s="22" t="str">
        <x:v>Что проверить</x:v>
      </x:c>
      <x:c r="G3" s="21"/>
      <x:c r="H3" s="21"/>
      <x:c r="I3" s="21"/>
      <x:c r="J3" s="21"/>
      <x:c r="K3" s="21"/>
    </x:row>
    <x:row r="4">
      <x:c r="A4" s="21" t="str">
        <x:v>10:20</x:v>
      </x:c>
      <x:c r="B4" s="21" t="str">
        <x:v>Механик</x:v>
      </x:c>
      <x:c r="C4" s="21" t="str">
        <x:v>Осмотр 16К20 остаётся 10:55-11:25</x:v>
      </x:c>
      <x:c r="D4" s="21" t="str">
        <x:v>Подтверждено</x:v>
      </x:c>
      <x:c r="E4" s="21" t="str">
        <x:v>010/015</x:v>
      </x:c>
      <x:c r="F4" s="21" t="str">
        <x:v>Не запускать следующую деталь перед окном</x:v>
      </x:c>
      <x:c r="G4" s="21"/>
      <x:c r="H4" s="21"/>
      <x:c r="I4" s="21"/>
      <x:c r="J4" s="21"/>
      <x:c r="K4" s="21"/>
    </x:row>
    <x:row r="5">
      <x:c r="A5" s="21" t="str">
        <x:v>11:47</x:v>
      </x:c>
      <x:c r="B5" s="21" t="str">
        <x:v>Кладовая</x:v>
      </x:c>
      <x:c r="C5" s="21" t="str">
        <x:v>К-17 ещё в пути; старый комплект нельзя использовать</x:v>
      </x:c>
      <x:c r="D5" s="21" t="str">
        <x:v>Подтверждено</x:v>
      </x:c>
      <x:c r="E5" s="21" t="str">
        <x:v>020</x:v>
      </x:c>
      <x:c r="F5" s="21" t="str">
        <x:v>Есть ли запас времени</x:v>
      </x:c>
      <x:c r="G5" s="21"/>
      <x:c r="H5" s="21"/>
      <x:c r="I5" s="21"/>
      <x:c r="J5" s="21"/>
      <x:c r="K5" s="21"/>
    </x:row>
    <x:row r="6">
      <x:c r="A6" s="21" t="str">
        <x:v>12:05</x:v>
      </x:c>
      <x:c r="B6" s="21" t="str">
        <x:v>Кладовая</x:v>
      </x:c>
      <x:c r="C6" s="21" t="str">
        <x:v>Плановая передача К-17 около 12:20</x:v>
      </x:c>
      <x:c r="D6" s="21" t="str">
        <x:v>Оценка</x:v>
      </x:c>
      <x:c r="E6" s="21" t="str">
        <x:v>020</x:v>
      </x:c>
      <x:c r="F6" s="21" t="str">
        <x:v>Приёмка +10 мин</x:v>
      </x:c>
      <x:c r="G6" s="21"/>
      <x:c r="H6" s="21"/>
      <x:c r="I6" s="21"/>
      <x:c r="J6" s="21"/>
      <x:c r="K6" s="21"/>
    </x:row>
    <x:row r="7">
      <x:c r="A7" s="21" t="str">
        <x:v>12:15</x:v>
      </x:c>
      <x:c r="B7" s="21" t="str">
        <x:v>Кладовая</x:v>
      </x:c>
      <x:c r="C7" s="21" t="str">
        <x:v>Передача задерживается</x:v>
      </x:c>
      <x:c r="D7" s="21" t="str">
        <x:v>Подтверждено</x:v>
      </x:c>
      <x:c r="E7" s="21" t="str">
        <x:v>020</x:v>
      </x:c>
      <x:c r="F7" s="21" t="str">
        <x:v>Старое время больше не использовать</x:v>
      </x:c>
      <x:c r="G7" s="21"/>
      <x:c r="H7" s="21"/>
      <x:c r="I7" s="21"/>
      <x:c r="J7" s="21"/>
      <x:c r="K7" s="21"/>
    </x:row>
    <x:row r="8">
      <x:c r="A8" s="21" t="str">
        <x:v>12:40</x:v>
      </x:c>
      <x:c r="B8" s="21" t="str">
        <x:v>Кладовая</x:v>
      </x:c>
      <x:c r="C8" s="21" t="str">
        <x:v>Новый ориентир 13:35</x:v>
      </x:c>
      <x:c r="D8" s="21" t="str">
        <x:v>Оценка</x:v>
      </x:c>
      <x:c r="E8" s="21" t="str">
        <x:v>020</x:v>
      </x:c>
      <x:c r="F8" s="21" t="str">
        <x:v>Не считать фактом</x:v>
      </x:c>
      <x:c r="G8" s="21"/>
      <x:c r="H8" s="21"/>
      <x:c r="I8" s="21"/>
      <x:c r="J8" s="21"/>
      <x:c r="K8" s="21"/>
    </x:row>
    <x:row r="9">
      <x:c r="A9" s="21" t="str">
        <x:v>13:38</x:v>
      </x:c>
      <x:c r="B9" s="21" t="str">
        <x:v>Кладовая</x:v>
      </x:c>
      <x:c r="C9" s="21" t="str">
        <x:v>К-17 фактически передан</x:v>
      </x:c>
      <x:c r="D9" s="21" t="str">
        <x:v>Факт</x:v>
      </x:c>
      <x:c r="E9" s="21" t="str">
        <x:v>020</x:v>
      </x:c>
      <x:c r="F9" s="21" t="str">
        <x:v>Приёмка до 13:48</x:v>
      </x:c>
      <x:c r="G9" s="21"/>
      <x:c r="H9" s="21"/>
      <x:c r="I9" s="21"/>
      <x:c r="J9" s="21"/>
      <x:c r="K9" s="21"/>
    </x:row>
    <x:row r="10">
      <x:c r="A10" s="21" t="str">
        <x:v>13:20</x:v>
      </x:c>
      <x:c r="B10" s="21" t="str">
        <x:v>Мастер</x:v>
      </x:c>
      <x:c r="C10" s="21" t="str">
        <x:v>Операции местами не менять</x:v>
      </x:c>
      <x:c r="D10" s="21" t="str">
        <x:v>Указание</x:v>
      </x:c>
      <x:c r="E10" s="21" t="str">
        <x:v>Весь маршрут</x:v>
      </x:c>
      <x:c r="F10" s="21" t="str">
        <x:v>Не менять технологию</x:v>
      </x:c>
      <x:c r="G10" s="21"/>
      <x:c r="H10" s="21"/>
      <x:c r="I10" s="21"/>
      <x:c r="J10" s="21"/>
      <x:c r="K10" s="21"/>
    </x:row>
    <x:row r="11">
      <x:c r="A11" s="21" t="str">
        <x:v>14:55</x:v>
      </x:c>
      <x:c r="B11" s="21" t="str">
        <x:v>Механик</x:v>
      </x:c>
      <x:c r="C11" s="21" t="str">
        <x:v>3М151 недоступен 15:10-15:50</x:v>
      </x:c>
      <x:c r="D11" s="21" t="str">
        <x:v>Подтверждено</x:v>
      </x:c>
      <x:c r="E11" s="21" t="str">
        <x:v>025</x:v>
      </x:c>
      <x:c r="F11" s="21" t="str">
        <x:v>Проверить попадание в окно</x:v>
      </x:c>
      <x:c r="G11" s="21"/>
      <x:c r="H11" s="21"/>
      <x:c r="I11" s="21"/>
      <x:c r="J11" s="21"/>
      <x:c r="K11" s="21"/>
    </x:row>
    <x:row r="12">
      <x:c r="A12" s="21" t="str">
        <x:v>15:02</x:v>
      </x:c>
      <x:c r="B12" s="21" t="str">
        <x:v>ОТК</x:v>
      </x:c>
      <x:c r="C12" s="21" t="str">
        <x:v>После 16:30 контроль только по согласованию</x:v>
      </x:c>
      <x:c r="D12" s="21" t="str">
        <x:v>Подтверждено</x:v>
      </x:c>
      <x:c r="E12" s="21" t="str">
        <x:v>035</x:v>
      </x:c>
      <x:c r="F12" s="21" t="str">
        <x:v>Проверить окно ОТК</x:v>
      </x:c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0" hidden="0" customWidth="1"/>
    <x:col min="5" max="5" width="10" hidden="0" customWidth="1"/>
    <x:col min="6" max="6" width="20" hidden="0" customWidth="1"/>
    <x:col min="7" max="7" width="20" hidden="0" customWidth="1"/>
    <x:col min="8" max="8" width="18" hidden="0" customWidth="1"/>
    <x:col min="9" max="9" width="30" hidden="0" customWidth="1"/>
  </x:cols>
  <x:sheetData>
    <x:row r="1" ht="27" customHeight="1">
      <x:c r="A1" s="20" t="str">
        <x:v>РАСЧЁТ ВРЕМЕНИ ПАРТИИ ПО МАРШРУТНОЙ КАРТЕ</x:v>
      </x:c>
      <x:c r="B1" s="20"/>
      <x:c r="C1" s="20"/>
      <x:c r="D1" s="20"/>
      <x:c r="E1" s="20"/>
      <x:c r="F1" s="20"/>
      <x:c r="G1" s="20"/>
      <x:c r="H1" s="20"/>
      <x:c r="I1" s="20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Опер.</x:v>
      </x:c>
      <x:c r="B3" s="22" t="str">
        <x:v>Операция</x:v>
      </x:c>
      <x:c r="C3" s="22" t="str">
        <x:v>Тпз</x:v>
      </x:c>
      <x:c r="D3" s="22" t="str">
        <x:v>Тшт</x:v>
      </x:c>
      <x:c r="E3" s="22" t="str">
        <x:v>Кол-во</x:v>
      </x:c>
      <x:c r="F3" s="22" t="str">
        <x:v>Расчётное время, мин</x:v>
      </x:c>
      <x:c r="G3" s="22" t="str">
        <x:v>Источник Тшт</x:v>
      </x:c>
      <x:c r="H3" s="22" t="str">
        <x:v>Проверено вручную</x:v>
      </x:c>
      <x:c r="I3" s="22" t="str">
        <x:v>Комментарий</x:v>
      </x:c>
      <x:c r="J3" s="21"/>
      <x:c r="K3" s="21"/>
    </x:row>
    <x:row r="4">
      <x:c r="A4" s="21" t="str">
        <x:v>010</x:v>
      </x:c>
      <x:c r="B4" s="21" t="str">
        <x:v>Токарная</x:v>
      </x:c>
      <x:c r="C4" s="21" t="n">
        <x:v>25</x:v>
      </x:c>
      <x:c r="D4" s="21" t="n">
        <x:v>8.5</x:v>
      </x:c>
      <x:c r="E4" s="21" t="n">
        <x:v>10</x:v>
      </x:c>
      <x:c r="F4" s="21" t="n">
        <x:f>C4+D4*E4</x:f>
        <x:v>110</x:v>
      </x:c>
      <x:c r="G4" s="21" t="str">
        <x:v>Маршрутная карта</x:v>
      </x:c>
      <x:c r="H4" s="21" t="str"/>
      <x:c r="I4" s="21" t="str"/>
      <x:c r="J4" s="21"/>
      <x:c r="K4" s="21"/>
    </x:row>
    <x:row r="5">
      <x:c r="A5" s="21" t="str">
        <x:v>015</x:v>
      </x:c>
      <x:c r="B5" s="21" t="str">
        <x:v>Токарная</x:v>
      </x:c>
      <x:c r="C5" s="21" t="n">
        <x:v>25</x:v>
      </x:c>
      <x:c r="D5" s="21" t="n">
        <x:v>7.2</x:v>
      </x:c>
      <x:c r="E5" s="21" t="n">
        <x:v>10</x:v>
      </x:c>
      <x:c r="F5" s="21" t="n">
        <x:f>C5+D5*E5</x:f>
        <x:v>97</x:v>
      </x:c>
      <x:c r="G5" s="21" t="str">
        <x:v>Маршрутная карта</x:v>
      </x:c>
      <x:c r="H5" s="21" t="str"/>
      <x:c r="I5" s="21" t="str"/>
      <x:c r="J5" s="21"/>
      <x:c r="K5" s="21"/>
    </x:row>
    <x:row r="6">
      <x:c r="A6" s="21" t="str">
        <x:v>020</x:v>
      </x:c>
      <x:c r="B6" s="21" t="str">
        <x:v>Фрезерная</x:v>
      </x:c>
      <x:c r="C6" s="21" t="n">
        <x:v>20</x:v>
      </x:c>
      <x:c r="D6" s="21" t="n">
        <x:v>12</x:v>
      </x:c>
      <x:c r="E6" s="21" t="n">
        <x:v>10</x:v>
      </x:c>
      <x:c r="F6" s="21" t="n">
        <x:f>C6+D6*E6</x:f>
        <x:v>140</x:v>
      </x:c>
      <x:c r="G6" s="21" t="str">
        <x:v>Маршрутная карта</x:v>
      </x:c>
      <x:c r="H6" s="21" t="str"/>
      <x:c r="I6" s="21" t="str"/>
      <x:c r="J6" s="21"/>
      <x:c r="K6" s="21"/>
    </x:row>
    <x:row r="7">
      <x:c r="A7" s="21" t="str">
        <x:v>025</x:v>
      </x:c>
      <x:c r="B7" s="21" t="str">
        <x:v>Шлифовальная</x:v>
      </x:c>
      <x:c r="C7" s="21" t="n">
        <x:v>15</x:v>
      </x:c>
      <x:c r="D7" s="21" t="n">
        <x:v>6.3</x:v>
      </x:c>
      <x:c r="E7" s="21" t="n">
        <x:v>10</x:v>
      </x:c>
      <x:c r="F7" s="21" t="n">
        <x:f>C7+D7*E7</x:f>
        <x:v>78</x:v>
      </x:c>
      <x:c r="G7" s="21" t="str">
        <x:v>Маршрутная карта</x:v>
      </x:c>
      <x:c r="H7" s="21" t="str"/>
      <x:c r="I7" s="21" t="str"/>
      <x:c r="J7" s="21"/>
      <x:c r="K7" s="21"/>
    </x:row>
    <x:row r="8">
      <x:c r="A8" s="21" t="str">
        <x:v>030</x:v>
      </x:c>
      <x:c r="B8" s="21" t="str">
        <x:v>Слесарная</x:v>
      </x:c>
      <x:c r="C8" s="21" t="n">
        <x:v>5</x:v>
      </x:c>
      <x:c r="D8" s="21" t="n">
        <x:v>3</x:v>
      </x:c>
      <x:c r="E8" s="21" t="n">
        <x:v>10</x:v>
      </x:c>
      <x:c r="F8" s="21" t="n">
        <x:f>C8+D8*E8</x:f>
        <x:v>35</x:v>
      </x:c>
      <x:c r="G8" s="21" t="str">
        <x:v>Маршрутная карта</x:v>
      </x:c>
      <x:c r="H8" s="21" t="str"/>
      <x:c r="I8" s="21" t="str"/>
      <x:c r="J8" s="21"/>
      <x:c r="K8" s="21"/>
    </x:row>
    <x:row r="9">
      <x:c r="A9" s="21" t="str">
        <x:v>035</x:v>
      </x:c>
      <x:c r="B9" s="21" t="str">
        <x:v>Контрольная</x:v>
      </x:c>
      <x:c r="C9" s="21" t="n">
        <x:v>0</x:v>
      </x:c>
      <x:c r="D9" s="21" t="n">
        <x:v>5</x:v>
      </x:c>
      <x:c r="E9" s="21" t="n">
        <x:v>10</x:v>
      </x:c>
      <x:c r="F9" s="21" t="n">
        <x:f>C9+D9*E9</x:f>
        <x:v>50</x:v>
      </x:c>
      <x:c r="G9" s="21" t="str">
        <x:v>Маршрутная карта</x:v>
      </x:c>
      <x:c r="H9" s="21" t="str"/>
      <x:c r="I9" s="21" t="str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 t="str">
        <x:v>Итого, мин</x:v>
      </x:c>
      <x:c r="F11" s="21" t="n">
        <x:f>SUM(F4:F9)</x:f>
        <x:v>510</x:v>
      </x:c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 t="str">
        <x:v>Часы</x:v>
      </x:c>
      <x:c r="F12" s="21" t="n">
        <x:f>F11/60</x:f>
        <x:v>8.5</x:v>
      </x:c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32" hidden="0" customWidth="1"/>
    <x:col min="9" max="9" width="13" hidden="0" customWidth="1"/>
    <x:col min="10" max="10" width="30" hidden="0" customWidth="1"/>
    <x:col min="11" max="11" width="22" hidden="0" customWidth="1"/>
  </x:cols>
  <x:sheetData>
    <x:row r="1" ht="27" customHeight="1">
      <x:c r="A1" s="20" t="str">
        <x:v>РАСПИСАНИЕ: ПЛАН / СЦЕНАРИЙ / ОТКЛОНЕНИЯ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Опер./этап</x:v>
      </x:c>
      <x:c r="B3" s="22" t="str">
        <x:v>План начало</x:v>
      </x:c>
      <x:c r="C3" s="22" t="str">
        <x:v>План конец</x:v>
      </x:c>
      <x:c r="D3" s="22" t="str">
        <x:v>Сценарий начало</x:v>
      </x:c>
      <x:c r="E3" s="22" t="str">
        <x:v>Сценарий конец</x:v>
      </x:c>
      <x:c r="F3" s="22" t="str">
        <x:v>Длительность, мин</x:v>
      </x:c>
      <x:c r="G3" s="22" t="str">
        <x:v>Ресурс</x:v>
      </x:c>
      <x:c r="H3" s="22" t="str">
        <x:v>Ограничение</x:v>
      </x:c>
      <x:c r="I3" s="22" t="str">
        <x:v>Простой, мин</x:v>
      </x:c>
      <x:c r="J3" s="22" t="str">
        <x:v>Причина</x:v>
      </x:c>
      <x:c r="K3" s="22" t="str">
        <x:v>Источник</x:v>
      </x:c>
    </x:row>
    <x:row r="4">
      <x:c r="A4" s="21" t="str"/>
      <x:c r="B4" s="21" t="str"/>
      <x:c r="C4" s="21" t="str"/>
      <x:c r="D4" s="21" t="str"/>
      <x:c r="E4" s="21" t="str"/>
      <x:c r="F4" s="21" t="str"/>
      <x:c r="G4" s="21" t="str"/>
      <x:c r="H4" s="21" t="str"/>
      <x:c r="I4" s="21" t="str"/>
      <x:c r="J4" s="21" t="str"/>
      <x:c r="K4" s="21" t="str"/>
    </x:row>
    <x:row r="5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1" t="str"/>
      <x:c r="J5" s="21" t="str"/>
      <x:c r="K5" s="21" t="str"/>
    </x:row>
    <x:row r="6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</x:row>
    <x:row r="7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</x:row>
    <x:row r="8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</x:row>
    <x:row r="9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</x:row>
    <x:row r="10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</x:row>
    <x:row r="1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</x:row>
    <x:row r="12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</x:row>
    <x:row r="13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</x:row>
    <x:row r="14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</x:row>
    <x:row r="15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</x:row>
    <x:row r="16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</x:row>
    <x:row r="17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</x:row>
    <x:row r="18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14" hidden="0" customWidth="1"/>
    <x:col min="4" max="4" width="24" hidden="0" customWidth="1"/>
    <x:col min="5" max="5" width="14" hidden="0" customWidth="1"/>
    <x:col min="6" max="6" width="18" hidden="0" customWidth="1"/>
    <x:col min="7" max="7" width="40" hidden="0" customWidth="1"/>
  </x:cols>
  <x:sheetData>
    <x:row r="1" ht="27" customHeight="1">
      <x:c r="A1" s="20" t="str">
        <x:v>СВЕРКА ИСТОЧНИКОВ И ПРОТИВОРЕЧИЙ</x:v>
      </x:c>
      <x:c r="B1" s="20"/>
      <x:c r="C1" s="20"/>
      <x:c r="D1" s="20"/>
      <x:c r="E1" s="20"/>
      <x:c r="F1" s="20"/>
      <x:c r="G1" s="20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Показатель</x:v>
      </x:c>
      <x:c r="B3" s="22" t="str">
        <x:v>Источник 1</x:v>
      </x:c>
      <x:c r="C3" s="22" t="str">
        <x:v>Значение 1</x:v>
      </x:c>
      <x:c r="D3" s="22" t="str">
        <x:v>Источник 2</x:v>
      </x:c>
      <x:c r="E3" s="22" t="str">
        <x:v>Значение 2</x:v>
      </x:c>
      <x:c r="F3" s="22" t="str">
        <x:v>Статус</x:v>
      </x:c>
      <x:c r="G3" s="22" t="str">
        <x:v>Решение/вопрос</x:v>
      </x:c>
      <x:c r="H3" s="21"/>
      <x:c r="I3" s="21"/>
      <x:c r="J3" s="21"/>
      <x:c r="K3" s="21"/>
    </x:row>
    <x:row r="4">
      <x:c r="A4" s="28" t="str">
        <x:v>Операция 010, Тшт</x:v>
      </x:c>
      <x:c r="B4" s="28" t="str">
        <x:v>Маршрутная карта</x:v>
      </x:c>
      <x:c r="C4" s="28" t="n">
        <x:v>8.5</x:v>
      </x:c>
      <x:c r="D4" s="28" t="str">
        <x:v>Операционная карта</x:v>
      </x:c>
      <x:c r="E4" s="28" t="n">
        <x:v>2.98</x:v>
      </x:c>
      <x:c r="F4" s="28" t="str">
        <x:v>ПРОТИВОРЕЧИЕ</x:v>
      </x:c>
      <x:c r="G4" s="28" t="str">
        <x:v>Какой пример использовать для расчёта?</x:v>
      </x:c>
      <x:c r="H4" s="21"/>
      <x:c r="I4" s="21"/>
      <x:c r="J4" s="21"/>
      <x:c r="K4" s="21"/>
    </x:row>
    <x:row r="5">
      <x:c r="A5" s="21" t="str"/>
      <x:c r="B5" s="21" t="str"/>
      <x:c r="C5" s="21" t="str"/>
      <x:c r="D5" s="21" t="str"/>
      <x:c r="E5" s="21" t="str"/>
      <x:c r="F5" s="21" t="str"/>
      <x:c r="G5" s="21" t="str"/>
      <x:c r="H5" s="21"/>
      <x:c r="I5" s="21"/>
      <x:c r="J5" s="21"/>
      <x:c r="K5" s="21"/>
    </x:row>
    <x:row r="6">
      <x:c r="A6" s="21" t="str"/>
      <x:c r="B6" s="21" t="str"/>
      <x:c r="C6" s="21" t="str"/>
      <x:c r="D6" s="21" t="str"/>
      <x:c r="E6" s="21" t="str"/>
      <x:c r="F6" s="21" t="str"/>
      <x:c r="G6" s="21" t="str"/>
      <x:c r="H6" s="21"/>
      <x:c r="I6" s="21"/>
      <x:c r="J6" s="21"/>
      <x:c r="K6" s="21"/>
    </x:row>
    <x:row r="7">
      <x:c r="A7" s="21" t="str"/>
      <x:c r="B7" s="21" t="str"/>
      <x:c r="C7" s="21" t="str"/>
      <x:c r="D7" s="21" t="str"/>
      <x:c r="E7" s="21" t="str"/>
      <x:c r="F7" s="21" t="str"/>
      <x:c r="G7" s="21" t="str"/>
      <x:c r="H7" s="21"/>
      <x:c r="I7" s="21"/>
      <x:c r="J7" s="21"/>
      <x:c r="K7" s="21"/>
    </x:row>
    <x:row r="8">
      <x:c r="A8" s="21" t="str"/>
      <x:c r="B8" s="21" t="str"/>
      <x:c r="C8" s="21" t="str"/>
      <x:c r="D8" s="21" t="str"/>
      <x:c r="E8" s="21" t="str"/>
      <x:c r="F8" s="21" t="str"/>
      <x:c r="G8" s="21" t="str"/>
      <x:c r="H8" s="21"/>
      <x:c r="I8" s="21"/>
      <x:c r="J8" s="21"/>
      <x:c r="K8" s="21"/>
    </x:row>
    <x:row r="9">
      <x:c r="A9" s="21" t="str"/>
      <x:c r="B9" s="21" t="str"/>
      <x:c r="C9" s="21" t="str"/>
      <x:c r="D9" s="21" t="str"/>
      <x:c r="E9" s="21" t="str"/>
      <x:c r="F9" s="21" t="str"/>
      <x:c r="G9" s="21" t="str"/>
      <x:c r="H9" s="21"/>
      <x:c r="I9" s="21"/>
      <x:c r="J9" s="21"/>
      <x:c r="K9" s="21"/>
    </x:row>
    <x:row r="10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/>
      <x:c r="I10" s="21"/>
      <x:c r="J10" s="21"/>
      <x:c r="K10" s="21"/>
    </x:row>
    <x:row r="1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5" hidden="0" customWidth="1"/>
    <x:col min="3" max="3" width="20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27" customHeight="1">
      <x:c r="A1" s="20" t="str">
        <x:v>СРАВНЕНИЕ СЦЕНАРИЕВ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Сценарий</x:v>
      </x:c>
      <x:c r="B3" s="22" t="str">
        <x:v>Ключевое изменение</x:v>
      </x:c>
      <x:c r="C3" s="22" t="str">
        <x:v>Окончание маршрута</x:v>
      </x:c>
      <x:c r="D3" s="22" t="str">
        <x:v>Выход за 17:00, мин</x:v>
      </x:c>
      <x:c r="E3" s="22" t="str">
        <x:v>ОТК в окне?</x:v>
      </x:c>
      <x:c r="F3" s="22" t="str">
        <x:v>Начало испытания</x:v>
      </x:c>
      <x:c r="G3" s="22" t="str">
        <x:v>Окончание испытания</x:v>
      </x:c>
      <x:c r="H3" s="22" t="str">
        <x:v>Решение руководителя</x:v>
      </x:c>
      <x:c r="I3" s="21"/>
      <x:c r="J3" s="21"/>
      <x:c r="K3" s="21"/>
    </x:row>
    <x:row r="4">
      <x:c r="A4" s="21" t="str">
        <x:v>Базовый</x:v>
      </x:c>
      <x:c r="B4" s="21" t="str">
        <x:v>Маршрут + смена</x:v>
      </x:c>
      <x:c r="C4" s="21" t="str"/>
      <x:c r="D4" s="21" t="str"/>
      <x:c r="E4" s="21" t="str"/>
      <x:c r="F4" s="21" t="str"/>
      <x:c r="G4" s="21" t="str"/>
      <x:c r="H4" s="21" t="str"/>
      <x:c r="I4" s="21"/>
      <x:c r="J4" s="21"/>
      <x:c r="K4" s="21"/>
    </x:row>
    <x:row r="5">
      <x:c r="A5" s="21" t="str">
        <x:v>Ресурсный</x:v>
      </x:c>
      <x:c r="B5" s="21" t="str">
        <x:v>Окна оборудования</x:v>
      </x:c>
      <x:c r="C5" s="21" t="str"/>
      <x:c r="D5" s="21" t="str"/>
      <x:c r="E5" s="21" t="str"/>
      <x:c r="F5" s="21" t="str"/>
      <x:c r="G5" s="21" t="str"/>
      <x:c r="H5" s="21" t="str"/>
      <x:c r="I5" s="21"/>
      <x:c r="J5" s="21"/>
      <x:c r="K5" s="21"/>
    </x:row>
    <x:row r="6">
      <x:c r="A6" s="21" t="str">
        <x:v>Поставка план</x:v>
      </x:c>
      <x:c r="B6" s="21" t="str">
        <x:v>К-17 план 12:20 + приёмка</x:v>
      </x:c>
      <x:c r="C6" s="21" t="str"/>
      <x:c r="D6" s="21" t="str"/>
      <x:c r="E6" s="21" t="str"/>
      <x:c r="F6" s="21" t="str"/>
      <x:c r="G6" s="21" t="str"/>
      <x:c r="H6" s="21" t="str"/>
      <x:c r="I6" s="21"/>
      <x:c r="J6" s="21"/>
      <x:c r="K6" s="21"/>
    </x:row>
    <x:row r="7">
      <x:c r="A7" s="21" t="str">
        <x:v>Задержка факт</x:v>
      </x:c>
      <x:c r="B7" s="21" t="str">
        <x:v>К-17 факт 13:38 + приёмка</x:v>
      </x:c>
      <x:c r="C7" s="21" t="str"/>
      <x:c r="D7" s="21" t="str"/>
      <x:c r="E7" s="21" t="str"/>
      <x:c r="F7" s="21" t="str"/>
      <x:c r="G7" s="21" t="str"/>
      <x:c r="H7" s="21" t="str"/>
      <x:c r="I7" s="21"/>
      <x:c r="J7" s="21"/>
      <x:c r="K7" s="21"/>
    </x:row>
    <x:row r="8">
      <x:c r="A8" s="21" t="str">
        <x:v>Испытания</x:v>
      </x:c>
      <x:c r="B8" s="21" t="str">
        <x:v>Добавлен цикл 180 мин</x:v>
      </x:c>
      <x:c r="C8" s="21" t="str"/>
      <x:c r="D8" s="21" t="str"/>
      <x:c r="E8" s="21" t="str"/>
      <x:c r="F8" s="21" t="str"/>
      <x:c r="G8" s="21" t="str"/>
      <x:c r="H8" s="21" t="str"/>
      <x:c r="I8" s="21"/>
      <x:c r="J8" s="21"/>
      <x:c r="K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7" customHeight="1">
      <x:c r="A1" s="20" t="str">
        <x:v>КРАТКАЯ СПРАВКА РУКОВОДИТЕЛЮ - ЗАГОТОВКА</x:v>
      </x:c>
      <x:c r="B1" s="20"/>
      <x:c r="C1" s="20"/>
      <x:c r="D1" s="20"/>
      <x:c r="E1" s="20"/>
      <x:c r="F1" s="20"/>
      <x:c r="G1" s="21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30" t="str">
        <x:v>Раздел</x:v>
      </x:c>
      <x:c r="B3" s="30" t="str">
        <x:v>Содержание</x:v>
      </x:c>
      <x:c r="C3" s="21"/>
      <x:c r="D3" s="30" t="str">
        <x:v>ТРИ СЛАЙДА ДЛЯ ДОКЛАДА</x:v>
      </x:c>
      <x:c r="E3" s="30"/>
      <x:c r="F3" s="30"/>
      <x:c r="G3" s="21"/>
      <x:c r="H3" s="21"/>
      <x:c r="I3" s="21"/>
      <x:c r="J3" s="21"/>
      <x:c r="K3" s="21"/>
    </x:row>
    <x:row r="4">
      <x:c r="A4" s="21" t="str">
        <x:v>Что подтверждено</x:v>
      </x:c>
      <x:c r="B4" s="21" t="str"/>
      <x:c r="C4" s="21"/>
      <x:c r="D4" s="21" t="str">
        <x:v>Слайд 1</x:v>
      </x:c>
      <x:c r="E4" s="21" t="str">
        <x:v>Ситуация</x:v>
      </x:c>
      <x:c r="F4" s="21" t="str">
        <x:v>Факты и исходные ограничения</x:v>
      </x:c>
      <x:c r="G4" s="21"/>
      <x:c r="H4" s="21"/>
      <x:c r="I4" s="21"/>
      <x:c r="J4" s="21"/>
      <x:c r="K4" s="21"/>
    </x:row>
    <x:row r="5">
      <x:c r="A5" s="21" t="str">
        <x:v>Расчётное окончание партии</x:v>
      </x:c>
      <x:c r="B5" s="21" t="str"/>
      <x:c r="C5" s="21"/>
      <x:c r="D5" s="21" t="str">
        <x:v>Слайд 2</x:v>
      </x:c>
      <x:c r="E5" s="21" t="str">
        <x:v>Что изменилось</x:v>
      </x:c>
      <x:c r="F5" s="21" t="str">
        <x:v>Влияние событий на срок</x:v>
      </x:c>
      <x:c r="G5" s="21"/>
      <x:c r="H5" s="21"/>
      <x:c r="I5" s="21"/>
      <x:c r="J5" s="21"/>
      <x:c r="K5" s="21"/>
    </x:row>
    <x:row r="6">
      <x:c r="A6" s="21" t="str">
        <x:v>Главное отклонение</x:v>
      </x:c>
      <x:c r="B6" s="21" t="str"/>
      <x:c r="C6" s="21"/>
      <x:c r="D6" s="21" t="str">
        <x:v>Слайд 3</x:v>
      </x:c>
      <x:c r="E6" s="21" t="str">
        <x:v>Решение</x:v>
      </x:c>
      <x:c r="F6" s="21" t="str">
        <x:v>Варианты и что требуется утвердить</x:v>
      </x:c>
      <x:c r="G6" s="21"/>
      <x:c r="H6" s="21"/>
      <x:c r="I6" s="21"/>
      <x:c r="J6" s="21"/>
      <x:c r="K6" s="21"/>
    </x:row>
    <x:row r="7">
      <x:c r="A7" s="21" t="str">
        <x:v>Причина</x:v>
      </x:c>
      <x:c r="B7" s="21" t="str"/>
      <x:c r="C7" s="21"/>
      <x:c r="D7" s="21"/>
      <x:c r="E7" s="21"/>
      <x:c r="F7" s="21"/>
      <x:c r="G7" s="21"/>
      <x:c r="H7" s="21"/>
      <x:c r="I7" s="21"/>
      <x:c r="J7" s="21"/>
      <x:c r="K7" s="21"/>
    </x:row>
    <x:row r="8">
      <x:c r="A8" s="21" t="str">
        <x:v>Риски</x:v>
      </x:c>
      <x:c r="B8" s="21" t="str"/>
      <x:c r="C8" s="21"/>
      <x:c r="D8" s="21"/>
      <x:c r="E8" s="21"/>
      <x:c r="F8" s="21"/>
      <x:c r="G8" s="21"/>
      <x:c r="H8" s="21"/>
      <x:c r="I8" s="21"/>
      <x:c r="J8" s="21"/>
      <x:c r="K8" s="21"/>
    </x:row>
    <x:row r="9">
      <x:c r="A9" s="21" t="str">
        <x:v>Что требует согласования</x:v>
      </x:c>
      <x:c r="B9" s="21" t="str"/>
      <x:c r="C9" s="21"/>
      <x:c r="D9" s="21"/>
      <x:c r="E9" s="21"/>
      <x:c r="F9" s="21"/>
      <x:c r="G9" s="21"/>
      <x:c r="H9" s="21"/>
      <x:c r="I9" s="21"/>
      <x:c r="J9" s="21"/>
      <x:c r="K9" s="21"/>
    </x:row>
    <x:row r="10">
      <x:c r="A10" s="21" t="str">
        <x:v>Рекомендуемое действие</x:v>
      </x:c>
      <x:c r="B10" s="21" t="str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F1"/>
    <x:mergeCell ref="D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28" hidden="0" customWidth="1"/>
    <x:col min="4" max="4" width="35" hidden="0" customWidth="1"/>
    <x:col min="5" max="5" width="35" hidden="0" customWidth="1"/>
  </x:cols>
  <x:sheetData>
    <x:row r="1" ht="27" customHeight="1">
      <x:c r="A1" s="20" t="str">
        <x:v>ЧЕК-ЛИСТ НОРМОКОНТРОЛЯ РЕЗУЛЬТАТА ИИ</x:v>
      </x:c>
      <x:c r="B1" s="20"/>
      <x:c r="C1" s="20"/>
      <x:c r="D1" s="20"/>
      <x:c r="E1" s="20"/>
      <x:c r="F1" s="21"/>
      <x:c r="G1" s="21"/>
      <x:c r="H1" s="21"/>
      <x:c r="I1" s="21"/>
      <x:c r="J1" s="21"/>
      <x:c r="K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>
      <x:c r="A3" s="22" t="str">
        <x:v>Проверка</x:v>
      </x:c>
      <x:c r="B3" s="22" t="str">
        <x:v>Статус</x:v>
      </x:c>
      <x:c r="C3" s="22" t="str">
        <x:v>Где сверено</x:v>
      </x:c>
      <x:c r="D3" s="22" t="str">
        <x:v>Ошибка / риск</x:v>
      </x:c>
      <x:c r="E3" s="22" t="str">
        <x:v>Исправление</x:v>
      </x:c>
      <x:c r="F3" s="21"/>
      <x:c r="G3" s="21"/>
      <x:c r="H3" s="21"/>
      <x:c r="I3" s="21"/>
      <x:c r="J3" s="21"/>
      <x:c r="K3" s="21"/>
    </x:row>
    <x:row r="4">
      <x:c r="A4" s="21" t="str">
        <x:v>Операции перенесены без пропусков</x:v>
      </x:c>
      <x:c r="B4" s="21" t="str"/>
      <x:c r="C4" s="21" t="str"/>
      <x:c r="D4" s="21" t="str"/>
      <x:c r="E4" s="21" t="str"/>
      <x:c r="F4" s="21"/>
      <x:c r="G4" s="21"/>
      <x:c r="H4" s="21"/>
      <x:c r="I4" s="21"/>
      <x:c r="J4" s="21"/>
      <x:c r="K4" s="21"/>
    </x:row>
    <x:row r="5">
      <x:c r="A5" s="21" t="str">
        <x:v>Тпз и Тшт не перепутаны</x:v>
      </x:c>
      <x:c r="B5" s="21" t="str"/>
      <x:c r="C5" s="21" t="str"/>
      <x:c r="D5" s="21" t="str"/>
      <x:c r="E5" s="21" t="str"/>
      <x:c r="F5" s="21"/>
      <x:c r="G5" s="21"/>
      <x:c r="H5" s="21"/>
      <x:c r="I5" s="21"/>
      <x:c r="J5" s="21"/>
      <x:c r="K5" s="21"/>
    </x:row>
    <x:row r="6">
      <x:c r="A6" s="21" t="str">
        <x:v>Различие 8,5 и 2,98 замечено</x:v>
      </x:c>
      <x:c r="B6" s="21" t="str"/>
      <x:c r="C6" s="21" t="str"/>
      <x:c r="D6" s="21" t="str"/>
      <x:c r="E6" s="21" t="str"/>
      <x:c r="F6" s="21"/>
      <x:c r="G6" s="21"/>
      <x:c r="H6" s="21"/>
      <x:c r="I6" s="21"/>
      <x:c r="J6" s="21"/>
      <x:c r="K6" s="21"/>
    </x:row>
    <x:row r="7">
      <x:c r="A7" s="21" t="str">
        <x:v>Операция 005 не получила выдуманное время</x:v>
      </x:c>
      <x:c r="B7" s="21" t="str"/>
      <x:c r="C7" s="21" t="str"/>
      <x:c r="D7" s="21" t="str"/>
      <x:c r="E7" s="21" t="str"/>
      <x:c r="F7" s="21"/>
      <x:c r="G7" s="21"/>
      <x:c r="H7" s="21"/>
      <x:c r="I7" s="21"/>
      <x:c r="J7" s="21"/>
      <x:c r="K7" s="21"/>
    </x:row>
    <x:row r="8">
      <x:c r="A8" s="21" t="str">
        <x:v>Формула партии показана</x:v>
      </x:c>
      <x:c r="B8" s="21" t="str"/>
      <x:c r="C8" s="21" t="str"/>
      <x:c r="D8" s="21" t="str"/>
      <x:c r="E8" s="21" t="str"/>
      <x:c r="F8" s="21"/>
      <x:c r="G8" s="21"/>
      <x:c r="H8" s="21"/>
      <x:c r="I8" s="21"/>
      <x:c r="J8" s="21"/>
      <x:c r="K8" s="21"/>
    </x:row>
    <x:row r="9">
      <x:c r="A9" s="21" t="str">
        <x:v>Обед учтён по правилам кейса</x:v>
      </x:c>
      <x:c r="B9" s="21" t="str"/>
      <x:c r="C9" s="21" t="str"/>
      <x:c r="D9" s="21" t="str"/>
      <x:c r="E9" s="21" t="str"/>
      <x:c r="F9" s="21"/>
      <x:c r="G9" s="21"/>
      <x:c r="H9" s="21"/>
      <x:c r="I9" s="21"/>
      <x:c r="J9" s="21"/>
      <x:c r="K9" s="21"/>
    </x:row>
    <x:row r="10">
      <x:c r="A10" s="21" t="str">
        <x:v>Окна недоступности оборудования учтены</x:v>
      </x:c>
      <x:c r="B10" s="21" t="str"/>
      <x:c r="C10" s="21" t="str"/>
      <x:c r="D10" s="21" t="str"/>
      <x:c r="E10" s="21" t="str"/>
      <x:c r="F10" s="21"/>
      <x:c r="G10" s="21"/>
      <x:c r="H10" s="21"/>
      <x:c r="I10" s="21"/>
      <x:c r="J10" s="21"/>
      <x:c r="K10" s="21"/>
    </x:row>
    <x:row r="11">
      <x:c r="A11" s="21" t="str">
        <x:v>Оценка 13:35 не выдана за факт</x:v>
      </x:c>
      <x:c r="B11" s="21" t="str"/>
      <x:c r="C11" s="21" t="str"/>
      <x:c r="D11" s="21" t="str"/>
      <x:c r="E11" s="21" t="str"/>
      <x:c r="F11" s="21"/>
      <x:c r="G11" s="21"/>
      <x:c r="H11" s="21"/>
      <x:c r="I11" s="21"/>
      <x:c r="J11" s="21"/>
      <x:c r="K11" s="21"/>
    </x:row>
    <x:row r="12">
      <x:c r="A12" s="21" t="str">
        <x:v>Факт 13:38 учтён</x:v>
      </x:c>
      <x:c r="B12" s="21" t="str"/>
      <x:c r="C12" s="21" t="str"/>
      <x:c r="D12" s="21" t="str"/>
      <x:c r="E12" s="21" t="str"/>
      <x:c r="F12" s="21"/>
      <x:c r="G12" s="21"/>
      <x:c r="H12" s="21"/>
      <x:c r="I12" s="21"/>
      <x:c r="J12" s="21"/>
      <x:c r="K12" s="21"/>
    </x:row>
    <x:row r="13">
      <x:c r="A13" s="21" t="str">
        <x:v>Приёмка 10 минут учтена</x:v>
      </x:c>
      <x:c r="B13" s="21" t="str"/>
      <x:c r="C13" s="21" t="str"/>
      <x:c r="D13" s="21" t="str"/>
      <x:c r="E13" s="21" t="str"/>
      <x:c r="F13" s="21"/>
      <x:c r="G13" s="21"/>
      <x:c r="H13" s="21"/>
      <x:c r="I13" s="21"/>
      <x:c r="J13" s="21"/>
      <x:c r="K13" s="21"/>
    </x:row>
    <x:row r="14">
      <x:c r="A14" s="21" t="str">
        <x:v>Окно ОТК проверено</x:v>
      </x:c>
      <x:c r="B14" s="21" t="str"/>
      <x:c r="C14" s="21" t="str"/>
      <x:c r="D14" s="21" t="str"/>
      <x:c r="E14" s="21" t="str"/>
      <x:c r="F14" s="21"/>
      <x:c r="G14" s="21"/>
      <x:c r="H14" s="21"/>
      <x:c r="I14" s="21"/>
      <x:c r="J14" s="21"/>
      <x:c r="K14" s="21"/>
    </x:row>
    <x:row r="15">
      <x:c r="A15" s="21" t="str">
        <x:v>Испытание 180 минут не сокращено</x:v>
      </x:c>
      <x:c r="B15" s="21" t="str"/>
      <x:c r="C15" s="21" t="str"/>
      <x:c r="D15" s="21" t="str"/>
      <x:c r="E15" s="21" t="str"/>
      <x:c r="F15" s="21"/>
      <x:c r="G15" s="21"/>
      <x:c r="H15" s="21"/>
      <x:c r="I15" s="21"/>
      <x:c r="J15" s="21"/>
      <x:c r="K15" s="21"/>
    </x:row>
    <x:row r="16">
      <x:c r="A16" s="21" t="str">
        <x:v>Факты отделены от расчётов</x:v>
      </x:c>
      <x:c r="B16" s="21" t="str"/>
      <x:c r="C16" s="21" t="str"/>
      <x:c r="D16" s="21" t="str"/>
      <x:c r="E16" s="21" t="str"/>
      <x:c r="F16" s="21"/>
      <x:c r="G16" s="21"/>
      <x:c r="H16" s="21"/>
      <x:c r="I16" s="21"/>
      <x:c r="J16" s="21"/>
      <x:c r="K16" s="21"/>
    </x:row>
    <x:row r="17">
      <x:c r="A17" s="21" t="str">
        <x:v>Рекомендации не подменяют решение человека</x:v>
      </x:c>
      <x:c r="B17" s="21" t="str"/>
      <x:c r="C17" s="21" t="str"/>
      <x:c r="D17" s="21" t="str"/>
      <x:c r="E17" s="21" t="str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</x:sheetData>
  <x:mergeCells>
    <x:mergeCell ref="A1:E1"/>
  </x:mergeCells>
  <x:conditionalFormatting sqref="B4:B17">
    <x:cfRule type="expression" dxfId="0" priority="1">
      <x:formula>B4="Нет"</x:formula>
    </x:cfRule>
    <x:cfRule type="expression" dxfId="1" priority="2">
      <x:formula>B4="Да"</x:formula>
    </x:cfRule>
  </x:conditionalFormatting>
  <x:dataValidations count="1">
    <x:dataValidation type="list" sqref="B4:B17">
      <x:formula1>"Да,Нет,Не применимо"</x:formula1>
    </x:dataValidation>
  </x:dataValidations>
  <x:pageMargins left="0.7" right="0.7" top="0.75" bottom="0.75" header="0.3" footer="0.3"/>
</x:worksheet>
</file>